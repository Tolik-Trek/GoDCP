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lik\SP_Projects\ASM\Another\Docs\"/>
    </mc:Choice>
  </mc:AlternateContent>
  <xr:revisionPtr revIDLastSave="0" documentId="13_ncr:1_{B3E5DCE6-94CC-41A6-9B07-8F3F35E4DB02}" xr6:coauthVersionLast="47" xr6:coauthVersionMax="47" xr10:uidLastSave="{00000000-0000-0000-0000-000000000000}"/>
  <bookViews>
    <workbookView xWindow="50955" yWindow="255" windowWidth="22890" windowHeight="20685" xr2:uid="{4A7EC0CD-D1B7-DC4C-A3C0-91F3EE011DB1}"/>
  </bookViews>
  <sheets>
    <sheet name="Лист1" sheetId="1" r:id="rId1"/>
    <sheet name="Лист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H17" i="1"/>
  <c r="I17" i="1"/>
  <c r="O17" i="1"/>
  <c r="P17" i="1"/>
  <c r="Q17" i="1"/>
  <c r="T17" i="1"/>
  <c r="U17" i="1"/>
  <c r="V17" i="1"/>
  <c r="E16" i="1"/>
  <c r="E5" i="1"/>
  <c r="F6" i="1" s="1"/>
  <c r="E6" i="1"/>
  <c r="F5" i="1"/>
  <c r="B6" i="2"/>
  <c r="B4" i="2"/>
  <c r="B1" i="2"/>
  <c r="B3" i="2" s="1"/>
  <c r="C3" i="2" s="1"/>
  <c r="J10" i="1"/>
  <c r="F16" i="1"/>
  <c r="M10" i="1"/>
  <c r="I10" i="1"/>
  <c r="L10" i="1"/>
  <c r="K10" i="1"/>
  <c r="B9" i="2" l="1"/>
  <c r="B7" i="2"/>
  <c r="G6" i="1"/>
  <c r="N10" i="1" s="1"/>
  <c r="G12" i="1" s="1"/>
  <c r="I6" i="1"/>
  <c r="R10" i="1" s="1"/>
  <c r="I12" i="1" s="1"/>
  <c r="F17" i="1"/>
  <c r="E17" i="1" s="1"/>
  <c r="H6" i="1"/>
  <c r="O10" i="1" s="1"/>
  <c r="H12" i="1" s="1"/>
  <c r="V6" i="1"/>
  <c r="V10" i="1" s="1"/>
  <c r="V12" i="1" s="1"/>
  <c r="U6" i="1"/>
  <c r="U10" i="1" s="1"/>
  <c r="U12" i="1" s="1"/>
  <c r="P6" i="1"/>
  <c r="P10" i="1" s="1"/>
  <c r="P12" i="1" s="1"/>
  <c r="L6" i="1"/>
  <c r="K6" i="1"/>
  <c r="N6" i="1"/>
  <c r="M6" i="1"/>
  <c r="R6" i="1"/>
  <c r="J6" i="1"/>
  <c r="Q6" i="1"/>
  <c r="Q10" i="1" s="1"/>
  <c r="Q12" i="1" s="1"/>
  <c r="T6" i="1"/>
  <c r="T10" i="1" s="1"/>
  <c r="T12" i="1" s="1"/>
  <c r="O6" i="1"/>
  <c r="S10" i="1" s="1"/>
  <c r="O12" i="1" s="1"/>
  <c r="S6" i="1"/>
  <c r="C18" i="1" l="1"/>
  <c r="B18" i="1" s="1"/>
  <c r="C14" i="1"/>
  <c r="B14" i="1" s="1"/>
  <c r="C17" i="1"/>
  <c r="B17" i="1" s="1"/>
  <c r="C13" i="1"/>
  <c r="B13" i="1" s="1"/>
  <c r="C11" i="1"/>
  <c r="B11" i="1" s="1"/>
  <c r="C16" i="1"/>
  <c r="B16" i="1" s="1"/>
  <c r="C12" i="1"/>
  <c r="B12" i="1" s="1"/>
  <c r="C15" i="1"/>
  <c r="B15" i="1" s="1"/>
  <c r="F10" i="1"/>
  <c r="E10" i="1" s="1"/>
  <c r="F12" i="1"/>
  <c r="E12" i="1" s="1"/>
</calcChain>
</file>

<file path=xl/sharedStrings.xml><?xml version="1.0" encoding="utf-8"?>
<sst xmlns="http://schemas.openxmlformats.org/spreadsheetml/2006/main" count="111" uniqueCount="67">
  <si>
    <t>P15</t>
  </si>
  <si>
    <t>P14</t>
  </si>
  <si>
    <t>P13</t>
  </si>
  <si>
    <t>P12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</si>
  <si>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</si>
  <si>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</si>
  <si>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</si>
  <si>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</si>
  <si>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</si>
  <si>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</si>
  <si>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</si>
  <si>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</si>
  <si>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</si>
  <si>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</si>
  <si>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P01</t>
  </si>
  <si>
    <t>P00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</si>
  <si>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</si>
  <si>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</si>
  <si>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</si>
  <si>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</si>
  <si>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</si>
  <si>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</si>
  <si>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</si>
  <si>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</si>
  <si>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</si>
  <si>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</si>
  <si>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</si>
  <si>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</si>
  <si>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</si>
  <si>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</si>
  <si>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</si>
  <si>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</si>
  <si>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Hex</t>
  </si>
  <si>
    <t>Dec</t>
  </si>
  <si>
    <t>M15</t>
  </si>
  <si>
    <t>M14</t>
  </si>
  <si>
    <t>M13</t>
  </si>
  <si>
    <t>M12</t>
  </si>
  <si>
    <t>M11</t>
  </si>
  <si>
    <t>M10</t>
  </si>
  <si>
    <t>M09</t>
  </si>
  <si>
    <t>M08</t>
  </si>
  <si>
    <t>M07</t>
  </si>
  <si>
    <t>M06</t>
  </si>
  <si>
    <t>M05</t>
  </si>
  <si>
    <t>M04</t>
  </si>
  <si>
    <t>M03</t>
  </si>
  <si>
    <t>M02</t>
  </si>
  <si>
    <t>M01</t>
  </si>
  <si>
    <t>M00</t>
  </si>
  <si>
    <t>CNF_0</t>
  </si>
  <si>
    <t>CNF_1</t>
  </si>
  <si>
    <t>CNF_2</t>
  </si>
  <si>
    <t>CNF_3</t>
  </si>
  <si>
    <t>wr/rd</t>
  </si>
  <si>
    <t>dos</t>
  </si>
  <si>
    <t>pn5</t>
  </si>
  <si>
    <t>cnf</t>
  </si>
  <si>
    <t>xxx</t>
  </si>
  <si>
    <t>Внешний порт:</t>
  </si>
  <si>
    <t>0-31</t>
  </si>
  <si>
    <t>Смещение в карте:</t>
  </si>
  <si>
    <t>Внешний совпадающий порт:</t>
  </si>
  <si>
    <t xml:space="preserve">Смещения для
OUT (number),A: </t>
  </si>
  <si>
    <t>Смещение для
OUT (С),x:</t>
  </si>
  <si>
    <t>46d</t>
  </si>
  <si>
    <t>7786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</si>
</sst>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4" tint="0.59999389629810485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  <font>
      <u/>
      <sz val="12"/>
      <color theme="1"/>
      <name val="Calibri"/>
      <family val="2"/>
      <charset val="204"/>
      <scheme val="minor"/>
    </font>
    <font>
      <b/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79">
    <xf numFmtId="0" fontId="0" fillId="0" borderId="0" xfId="0"/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2" fillId="2" borderId="12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3" fillId="2" borderId="13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top"/>
    </xf>
    <xf numFmtId="0" fontId="8" fillId="2" borderId="11" xfId="0" applyFont="1" applyFill="1" applyBorder="1" applyAlignment="1">
      <alignment horizontal="center" vertical="top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6" fillId="6" borderId="32" xfId="0" applyFont="1" applyFill="1" applyBorder="1" applyAlignment="1">
      <alignment horizontal="center" vertical="center"/>
    </xf>
    <xf numFmtId="1" fontId="4" fillId="6" borderId="33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3" fillId="2" borderId="25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10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8" xfId="0" applyBorder="1" applyAlignment="1">
      <alignment horizontal="center" vertical="center"/>
    </xf>
    <xf numFmtId="49" fontId="0" fillId="5" borderId="45" xfId="0" applyNumberFormat="1" applyFill="1" applyBorder="1" applyAlignment="1">
      <alignment horizontal="center"/>
    </xf>
    <xf numFmtId="0" fontId="0" fillId="4" borderId="46" xfId="0" applyFill="1" applyBorder="1" applyAlignment="1">
      <alignment horizontal="center" vertical="top"/>
    </xf>
    <xf numFmtId="0" fontId="8" fillId="0" borderId="20" xfId="0" applyFont="1" applyBorder="1" applyAlignment="1">
      <alignment horizontal="center" vertical="center"/>
    </xf>
    <xf numFmtId="0" fontId="11" fillId="5" borderId="45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9" fillId="2" borderId="11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top"/>
    </xf>
    <xf numFmtId="0" fontId="21" fillId="4" borderId="28" xfId="0" applyFont="1" applyFill="1" applyBorder="1" applyAlignment="1">
      <alignment horizontal="center" vertical="center"/>
    </xf>
    <xf numFmtId="0" fontId="21" fillId="4" borderId="29" xfId="0" applyFont="1" applyFill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/>
    </xf>
    <xf numFmtId="1" fontId="0" fillId="0" borderId="0" xfId="0" applyNumberFormat="1"/>
    <xf numFmtId="0" fontId="0" fillId="5" borderId="45" xfId="0" applyFill="1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wrapText="1"/>
    </xf>
    <xf numFmtId="0" fontId="17" fillId="0" borderId="26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 3" xfId="1" xr:uid="{76FBFB46-F781-7F46-979D-1A7F98723D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G$20" lockText="1" noThreeD="1"/>
</file>

<file path=xl/ctrlProps/ctrlProp2.xml><?xml version="1.0" encoding="utf-8"?>
<formControlPr xmlns="http://schemas.microsoft.com/office/spreadsheetml/2009/9/main" objectType="CheckBox" checked="Checked" fmlaLink="$G$22" noThreeD="1"/>
</file>

<file path=xl/ctrlProps/ctrlProp3.xml><?xml version="1.0" encoding="utf-8"?>
<formControlPr xmlns="http://schemas.microsoft.com/office/spreadsheetml/2009/9/main" objectType="CheckBox" fmlaLink="$G$23" noThreeD="1"/>
</file>

<file path=xl/ctrlProps/ctrlProp4.xml><?xml version="1.0" encoding="utf-8"?>
<formControlPr xmlns="http://schemas.microsoft.com/office/spreadsheetml/2009/9/main" objectType="Drop" dropStyle="combo" dx="15" fmlaLink="$J$20" fmlaRange="$I$20:$I$23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10416</xdr:colOff>
          <xdr:row>19</xdr:row>
          <xdr:rowOff>60005</xdr:rowOff>
        </xdr:from>
        <xdr:to>
          <xdr:col>7</xdr:col>
          <xdr:colOff>491388</xdr:colOff>
          <xdr:row>23</xdr:row>
          <xdr:rowOff>188182</xdr:rowOff>
        </xdr:to>
        <xdr:grpSp>
          <xdr:nvGrpSpPr>
            <xdr:cNvPr id="3" name="Группа 2">
              <a:extLst>
                <a:ext uri="{FF2B5EF4-FFF2-40B4-BE49-F238E27FC236}">
                  <a16:creationId xmlns:a16="http://schemas.microsoft.com/office/drawing/2014/main" id="{53C4AAD3-631D-2F41-804C-E8B284C2D8B2}"/>
                </a:ext>
              </a:extLst>
            </xdr:cNvPr>
            <xdr:cNvGrpSpPr/>
          </xdr:nvGrpSpPr>
          <xdr:grpSpPr>
            <a:xfrm>
              <a:off x="3300143" y="5406812"/>
              <a:ext cx="1001245" cy="928597"/>
              <a:chOff x="3290945" y="5416832"/>
              <a:chExt cx="1000049" cy="944871"/>
            </a:xfrm>
          </xdr:grpSpPr>
          <xdr:sp macro="" textlink="">
            <xdr:nvSpPr>
              <xdr:cNvPr id="1025" name="Check Box 1" descr="PN5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3292103" y="5416832"/>
                <a:ext cx="861974" cy="3057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ru-RU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WR/RD</a:t>
                </a:r>
              </a:p>
            </xdr:txBody>
          </xdr:sp>
          <xdr:sp macro="" textlink="">
            <xdr:nvSpPr>
              <xdr:cNvPr id="1026" name="Check Box 2" descr="Dos Off/On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3292087" y="5723777"/>
                <a:ext cx="998907" cy="30442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ru-RU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Dos On/Off</a:t>
                </a:r>
              </a:p>
            </xdr:txBody>
          </xdr:sp>
          <xdr:sp macro="" textlink="">
            <xdr:nvSpPr>
              <xdr:cNvPr id="1027" name="Check Box 3" descr="PN5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3290945" y="5976272"/>
                <a:ext cx="671473" cy="38543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ru-RU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PN5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19</xdr:row>
          <xdr:rowOff>66675</xdr:rowOff>
        </xdr:from>
        <xdr:to>
          <xdr:col>11</xdr:col>
          <xdr:colOff>314325</xdr:colOff>
          <xdr:row>23</xdr:row>
          <xdr:rowOff>142875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785091</xdr:colOff>
      <xdr:row>6</xdr:row>
      <xdr:rowOff>127000</xdr:rowOff>
    </xdr:from>
    <xdr:to>
      <xdr:col>5</xdr:col>
      <xdr:colOff>0</xdr:colOff>
      <xdr:row>8</xdr:row>
      <xdr:rowOff>0</xdr:rowOff>
    </xdr:to>
    <xdr:sp macro="" textlink="">
      <xdr:nvSpPr>
        <xdr:cNvPr id="9" name="Развернутая стрелка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H="1">
          <a:off x="785091" y="1500909"/>
          <a:ext cx="1708727" cy="196273"/>
        </a:xfrm>
        <a:prstGeom prst="uturnArrow">
          <a:avLst/>
        </a:prstGeom>
        <a:ln cap="flat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A798-2FF5-2545-968D-5428F12FBA71}">
  <dimension ref="B1:AB34"/>
  <sheetViews>
    <sheetView tabSelected="1" zoomScale="119" zoomScaleNormal="100" workbookViewId="0">
      <selection activeCell="E4" sqref="E4"/>
    </sheetView>
  </sheetViews>
  <sheetFormatPr defaultColWidth="10.875" defaultRowHeight="15.75" x14ac:dyDescent="0.25"/>
  <cols>
    <col min="1" max="1" width="0.875" style="1" customWidth="1"/>
    <col min="2" max="3" width="8.875" style="1" customWidth="1"/>
    <col min="4" max="4" width="2.875" style="1" customWidth="1"/>
    <col min="5" max="6" width="10.875" style="1" customWidth="1"/>
    <col min="7" max="23" width="6.875" style="1" customWidth="1"/>
    <col min="24" max="25" width="16.375" style="1" customWidth="1"/>
    <col min="26" max="16384" width="10.875" style="1"/>
  </cols>
  <sheetData>
    <row r="1" spans="2:28" ht="3" customHeight="1" thickBot="1" x14ac:dyDescent="0.3"/>
    <row r="2" spans="2:28" ht="16.5" thickBot="1" x14ac:dyDescent="0.3">
      <c r="E2" s="175" t="s">
        <v>59</v>
      </c>
      <c r="F2" s="176"/>
    </row>
    <row r="3" spans="2:28" ht="19.5" customHeight="1" thickBot="1" x14ac:dyDescent="0.3">
      <c r="E3" s="124" t="s">
        <v>32</v>
      </c>
      <c r="F3" s="127" t="s">
        <v>33</v>
      </c>
      <c r="G3" s="116">
        <v>8000</v>
      </c>
      <c r="H3" s="116">
        <v>4000</v>
      </c>
      <c r="I3" s="116">
        <v>2000</v>
      </c>
      <c r="J3" s="116">
        <v>1000</v>
      </c>
      <c r="K3" s="117">
        <v>800</v>
      </c>
      <c r="L3" s="118">
        <v>400</v>
      </c>
      <c r="M3" s="118">
        <v>200</v>
      </c>
      <c r="N3" s="119">
        <v>100</v>
      </c>
      <c r="O3" s="116">
        <v>80</v>
      </c>
      <c r="P3" s="116">
        <v>40</v>
      </c>
      <c r="Q3" s="116">
        <v>20</v>
      </c>
      <c r="R3" s="116">
        <v>10</v>
      </c>
      <c r="S3" s="117">
        <v>8</v>
      </c>
      <c r="T3" s="118">
        <v>4</v>
      </c>
      <c r="U3" s="118">
        <v>2</v>
      </c>
      <c r="V3" s="119">
        <v>1</v>
      </c>
      <c r="W3" s="135"/>
    </row>
    <row r="4" spans="2:28" ht="19.5" customHeight="1" thickBot="1" x14ac:dyDescent="0.35">
      <c r="E4" s="125" t="s">
        <v>66</v>
      </c>
      <c r="F4" s="128">
        <v>123</v>
      </c>
      <c r="G4" s="120">
        <v>32768</v>
      </c>
      <c r="H4" s="120">
        <v>16384</v>
      </c>
      <c r="I4" s="120">
        <v>8192</v>
      </c>
      <c r="J4" s="120">
        <v>4096</v>
      </c>
      <c r="K4" s="121">
        <v>2048</v>
      </c>
      <c r="L4" s="122">
        <v>1024</v>
      </c>
      <c r="M4" s="122">
        <v>512</v>
      </c>
      <c r="N4" s="123">
        <v>256</v>
      </c>
      <c r="O4" s="120">
        <v>128</v>
      </c>
      <c r="P4" s="120">
        <v>64</v>
      </c>
      <c r="Q4" s="120">
        <v>32</v>
      </c>
      <c r="R4" s="120">
        <v>16</v>
      </c>
      <c r="S4" s="121">
        <v>8</v>
      </c>
      <c r="T4" s="122">
        <v>4</v>
      </c>
      <c r="U4" s="122">
        <v>2</v>
      </c>
      <c r="V4" s="123">
        <v>1</v>
      </c>
      <c r="W4" s="136"/>
    </row>
    <row r="5" spans="2:28" ht="19.5" thickBot="1" x14ac:dyDescent="0.3">
      <c r="E5" s="126">
        <f>HEX2DEC((E4))</f>
        <v>30598</v>
      </c>
      <c r="F5" s="126" t="str">
        <f>DEC2HEX(F4)</f>
        <v>7B</v>
      </c>
      <c r="G5" s="73" t="s">
        <v>0</v>
      </c>
      <c r="H5" s="9" t="s">
        <v>1</v>
      </c>
      <c r="I5" s="9" t="s">
        <v>2</v>
      </c>
      <c r="J5" s="10" t="s">
        <v>3</v>
      </c>
      <c r="K5" s="5" t="s">
        <v>4</v>
      </c>
      <c r="L5" s="6" t="s">
        <v>5</v>
      </c>
      <c r="M5" s="6" t="s">
        <v>6</v>
      </c>
      <c r="N5" s="7" t="s">
        <v>7</v>
      </c>
      <c r="O5" s="8" t="s">
        <v>8</v>
      </c>
      <c r="P5" s="9" t="s">
        <v>9</v>
      </c>
      <c r="Q5" s="9" t="s">
        <v>10</v>
      </c>
      <c r="R5" s="10" t="s">
        <v>11</v>
      </c>
      <c r="S5" s="5" t="s">
        <v>12</v>
      </c>
      <c r="T5" s="6" t="s">
        <v>13</v>
      </c>
      <c r="U5" s="6" t="s">
        <v>14</v>
      </c>
      <c r="V5" s="7" t="s">
        <v>15</v>
      </c>
      <c r="W5" s="137"/>
    </row>
    <row r="6" spans="2:28" ht="30" customHeight="1" thickBot="1" x14ac:dyDescent="0.3">
      <c r="E6" s="133" t="str">
        <f>DEC2HEX((F4))</f>
        <v>7B</v>
      </c>
      <c r="F6" s="134">
        <f xml:space="preserve"> E5</f>
        <v>30598</v>
      </c>
      <c r="G6" s="74">
        <f>_xlfn.BITAND($F$6,G4)/G4</f>
        <v>0</v>
      </c>
      <c r="H6" s="12">
        <f>_xlfn.BITAND($F$6,H4)/H4</f>
        <v>1</v>
      </c>
      <c r="I6" s="12">
        <f>_xlfn.BITAND($F$6,I4)/I4</f>
        <v>1</v>
      </c>
      <c r="J6" s="13">
        <f>_xlfn.BITAND($F$6,J4)/J4</f>
        <v>1</v>
      </c>
      <c r="K6" s="2">
        <f>_xlfn.BITAND($F$6,K4)/K4</f>
        <v>0</v>
      </c>
      <c r="L6" s="3">
        <f t="shared" ref="L6:U6" si="0">_xlfn.BITAND($F$6,L4)/L4</f>
        <v>1</v>
      </c>
      <c r="M6" s="3">
        <f t="shared" si="0"/>
        <v>1</v>
      </c>
      <c r="N6" s="4">
        <f t="shared" si="0"/>
        <v>1</v>
      </c>
      <c r="O6" s="11">
        <f t="shared" si="0"/>
        <v>1</v>
      </c>
      <c r="P6" s="12">
        <f t="shared" si="0"/>
        <v>0</v>
      </c>
      <c r="Q6" s="12">
        <f>_xlfn.BITAND($F$6,Q4)/Q4</f>
        <v>0</v>
      </c>
      <c r="R6" s="13">
        <f t="shared" si="0"/>
        <v>0</v>
      </c>
      <c r="S6" s="2">
        <f t="shared" si="0"/>
        <v>0</v>
      </c>
      <c r="T6" s="3">
        <f t="shared" si="0"/>
        <v>1</v>
      </c>
      <c r="U6" s="3">
        <f t="shared" si="0"/>
        <v>1</v>
      </c>
      <c r="V6" s="4">
        <f>_xlfn.BITAND($F$6,V4)/V4</f>
        <v>0</v>
      </c>
      <c r="W6" s="130"/>
    </row>
    <row r="7" spans="2:28" ht="12.95" customHeight="1" x14ac:dyDescent="0.25">
      <c r="E7" s="131"/>
      <c r="F7" s="132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</row>
    <row r="8" spans="2:28" ht="13.5" customHeight="1" thickBot="1" x14ac:dyDescent="0.3">
      <c r="E8" s="131"/>
      <c r="F8" s="132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</row>
    <row r="9" spans="2:28" ht="39.950000000000003" customHeight="1" thickBot="1" x14ac:dyDescent="0.35">
      <c r="B9" s="158" t="s">
        <v>63</v>
      </c>
      <c r="C9" s="159"/>
      <c r="D9" s="147"/>
      <c r="E9" s="164" t="s">
        <v>64</v>
      </c>
      <c r="F9" s="165"/>
      <c r="G9" s="142"/>
      <c r="H9" s="48"/>
      <c r="I9" s="49" t="s">
        <v>57</v>
      </c>
      <c r="J9" s="50" t="s">
        <v>57</v>
      </c>
      <c r="K9" s="46" t="s">
        <v>56</v>
      </c>
      <c r="L9" s="47" t="s">
        <v>55</v>
      </c>
      <c r="M9" s="47" t="s">
        <v>54</v>
      </c>
      <c r="N9" s="66" t="s">
        <v>0</v>
      </c>
      <c r="O9" s="67" t="s">
        <v>1</v>
      </c>
      <c r="P9" s="49" t="s">
        <v>9</v>
      </c>
      <c r="Q9" s="49" t="s">
        <v>10</v>
      </c>
      <c r="R9" s="68" t="s">
        <v>2</v>
      </c>
      <c r="S9" s="69" t="s">
        <v>8</v>
      </c>
      <c r="T9" s="47" t="s">
        <v>13</v>
      </c>
      <c r="U9" s="47" t="s">
        <v>14</v>
      </c>
      <c r="V9" s="70" t="s">
        <v>15</v>
      </c>
      <c r="W9" s="140"/>
    </row>
    <row r="10" spans="2:28" ht="29.1" customHeight="1" thickBot="1" x14ac:dyDescent="0.3">
      <c r="B10" s="129" t="s">
        <v>32</v>
      </c>
      <c r="C10" s="24" t="s">
        <v>33</v>
      </c>
      <c r="D10" s="138"/>
      <c r="E10" s="148" t="str">
        <f>DEC2HEX((F10))</f>
        <v>69E</v>
      </c>
      <c r="F10" s="149">
        <f>V10*$V$4+U10*$U$4+T10*$T$4+S10*$S$4+R10*$R$4+Q10*$Q$4+P10*$P$4+O10*$O$4+N10*$N$4+M10*$M$4+L10*$L$4+K10*$K$4+J10*$J$4+I10*$I$4+H10*$H$4+G10*$G$4</f>
        <v>1694</v>
      </c>
      <c r="G10" s="143">
        <v>0</v>
      </c>
      <c r="H10" s="45">
        <v>0</v>
      </c>
      <c r="I10" s="42">
        <f>_xlfn.BITAND((J20-1),2)/2</f>
        <v>0</v>
      </c>
      <c r="J10" s="43">
        <f>_xlfn.BITAND((J20-1),1)</f>
        <v>0</v>
      </c>
      <c r="K10" s="39">
        <f>IF(G23, 1, 0)</f>
        <v>0</v>
      </c>
      <c r="L10" s="40">
        <f>IF(G22, 1, 0)</f>
        <v>1</v>
      </c>
      <c r="M10" s="41">
        <f>IF(G20, 1, 0)</f>
        <v>1</v>
      </c>
      <c r="N10" s="17">
        <f>G6</f>
        <v>0</v>
      </c>
      <c r="O10" s="14">
        <f>H6</f>
        <v>1</v>
      </c>
      <c r="P10" s="12">
        <f>P6</f>
        <v>0</v>
      </c>
      <c r="Q10" s="12">
        <f>Q6</f>
        <v>0</v>
      </c>
      <c r="R10" s="16">
        <f>I6</f>
        <v>1</v>
      </c>
      <c r="S10" s="44">
        <f>O6</f>
        <v>1</v>
      </c>
      <c r="T10" s="3">
        <f>T6</f>
        <v>1</v>
      </c>
      <c r="U10" s="3">
        <f>U6</f>
        <v>1</v>
      </c>
      <c r="V10" s="4">
        <f>V6</f>
        <v>0</v>
      </c>
      <c r="W10" s="130"/>
      <c r="AB10" s="51"/>
    </row>
    <row r="11" spans="2:28" ht="34.5" customHeight="1" thickBot="1" x14ac:dyDescent="0.3">
      <c r="B11" s="150" t="str">
        <f t="shared" ref="B11:B18" si="1">DEC2HEX((C11))</f>
        <v>60E</v>
      </c>
      <c r="C11" s="151">
        <f>$V$10*$V$4+$U$10*$U$4+$T$10*$T$4+$S$10*$S$4+0*$R$4+$Q$10*$Q$4+$P$10*$P$4+0*$O$4+0*$N$4+$M$10*$M$4+$L$10*$L$4+$K$10*$K$4+$J$10*$J$4+$I$10*$I$4+$H$10*$H$4+$G$10*$G$4</f>
        <v>1550</v>
      </c>
      <c r="D11" s="146"/>
      <c r="E11" s="166" t="s">
        <v>62</v>
      </c>
      <c r="F11" s="167"/>
      <c r="G11" s="14" t="s">
        <v>31</v>
      </c>
      <c r="H11" s="15" t="s">
        <v>30</v>
      </c>
      <c r="I11" s="15" t="s">
        <v>29</v>
      </c>
      <c r="J11" s="16" t="s">
        <v>28</v>
      </c>
      <c r="K11" s="21" t="s">
        <v>27</v>
      </c>
      <c r="L11" s="22" t="s">
        <v>26</v>
      </c>
      <c r="M11" s="22" t="s">
        <v>25</v>
      </c>
      <c r="N11" s="23" t="s">
        <v>24</v>
      </c>
      <c r="O11" s="18" t="s">
        <v>23</v>
      </c>
      <c r="P11" s="19" t="s">
        <v>22</v>
      </c>
      <c r="Q11" s="19" t="s">
        <v>21</v>
      </c>
      <c r="R11" s="20" t="s">
        <v>20</v>
      </c>
      <c r="S11" s="21" t="s">
        <v>19</v>
      </c>
      <c r="T11" s="22" t="s">
        <v>18</v>
      </c>
      <c r="U11" s="22" t="s">
        <v>17</v>
      </c>
      <c r="V11" s="24" t="s">
        <v>16</v>
      </c>
      <c r="W11" s="138"/>
      <c r="AB11" s="51"/>
    </row>
    <row r="12" spans="2:28" ht="30.95" customHeight="1" thickBot="1" x14ac:dyDescent="0.3">
      <c r="B12" s="152" t="str">
        <f t="shared" si="1"/>
        <v>61E</v>
      </c>
      <c r="C12" s="153">
        <f>$V$10*$V$4+$U$10*$U$4+$T$10*$T$4+$S$10*$S$4+1*$R$4+$Q$10*$Q$4+$P$10*$P$4+0*$O$4+0*$N$4+$M$10*$M$4+$L$10*$L$4+$K$10*$K$4+$J$10*$J$4+$I$10*$I$4+$H$10*$H$4+$G$10*$G$4</f>
        <v>1566</v>
      </c>
      <c r="D12" s="146"/>
      <c r="E12" s="114" t="str">
        <f>DEC2HEX((F12))</f>
        <v>6086</v>
      </c>
      <c r="F12" s="115">
        <f>V12*$V$4+U12*$U$4+T12*$T$4+S12*$S$4+R12*$R$4+Q12*$Q$4+P12*$P$4+O12*$O$4+N12*$N$4+M12*$M$4+L12*$L$4+K12*$K$4+J12*$J$4+I12*$I$4+H12*$H$4+G12*$G$4</f>
        <v>24710</v>
      </c>
      <c r="G12" s="30">
        <f>N10</f>
        <v>0</v>
      </c>
      <c r="H12" s="29">
        <f>O10</f>
        <v>1</v>
      </c>
      <c r="I12" s="29">
        <f>R10</f>
        <v>1</v>
      </c>
      <c r="J12" s="25">
        <v>0</v>
      </c>
      <c r="K12" s="27">
        <v>0</v>
      </c>
      <c r="L12" s="28">
        <v>0</v>
      </c>
      <c r="M12" s="28">
        <v>0</v>
      </c>
      <c r="N12" s="26">
        <v>0</v>
      </c>
      <c r="O12" s="30">
        <f>S10</f>
        <v>1</v>
      </c>
      <c r="P12" s="12">
        <f>P10</f>
        <v>0</v>
      </c>
      <c r="Q12" s="12">
        <f>Q10</f>
        <v>0</v>
      </c>
      <c r="R12" s="25">
        <v>0</v>
      </c>
      <c r="S12" s="31">
        <v>0</v>
      </c>
      <c r="T12" s="3">
        <f>T10</f>
        <v>1</v>
      </c>
      <c r="U12" s="3">
        <f>U10</f>
        <v>1</v>
      </c>
      <c r="V12" s="4">
        <f>V10</f>
        <v>0</v>
      </c>
      <c r="W12" s="130"/>
      <c r="AB12" s="51"/>
    </row>
    <row r="13" spans="2:28" ht="21.95" customHeight="1" thickBot="1" x14ac:dyDescent="0.3">
      <c r="B13" s="152" t="str">
        <f t="shared" si="1"/>
        <v>68E</v>
      </c>
      <c r="C13" s="153">
        <f>$V$10*$V$4+$U$10*$U$4+$T$10*$T$4+$S$10*$S$4+0*$R$4+$Q$10*$Q$4+$P$10*$P$4+1*$O$4+0*$N$4+$M$10*$M$4+$L$10*$L$4+$K$10*$K$4+$J$10*$J$4+$I$10*$I$4+$H$10*$H$4+$G$10*$G$4</f>
        <v>1678</v>
      </c>
      <c r="D13" s="146"/>
      <c r="E13" s="75"/>
      <c r="F13" s="76"/>
      <c r="G13" s="82" t="s">
        <v>34</v>
      </c>
      <c r="H13" s="83" t="s">
        <v>35</v>
      </c>
      <c r="I13" s="83" t="s">
        <v>36</v>
      </c>
      <c r="J13" s="84" t="s">
        <v>37</v>
      </c>
      <c r="K13" s="98" t="s">
        <v>38</v>
      </c>
      <c r="L13" s="99" t="s">
        <v>39</v>
      </c>
      <c r="M13" s="99" t="s">
        <v>40</v>
      </c>
      <c r="N13" s="100" t="s">
        <v>41</v>
      </c>
      <c r="O13" s="82" t="s">
        <v>42</v>
      </c>
      <c r="P13" s="83" t="s">
        <v>43</v>
      </c>
      <c r="Q13" s="83" t="s">
        <v>44</v>
      </c>
      <c r="R13" s="84" t="s">
        <v>45</v>
      </c>
      <c r="S13" s="98" t="s">
        <v>46</v>
      </c>
      <c r="T13" s="99" t="s">
        <v>47</v>
      </c>
      <c r="U13" s="99" t="s">
        <v>48</v>
      </c>
      <c r="V13" s="110" t="s">
        <v>49</v>
      </c>
      <c r="W13" s="138"/>
      <c r="AB13" s="51"/>
    </row>
    <row r="14" spans="2:28" ht="19.5" customHeight="1" thickBot="1" x14ac:dyDescent="0.3">
      <c r="B14" s="152" t="str">
        <f t="shared" si="1"/>
        <v>69E</v>
      </c>
      <c r="C14" s="153">
        <f>$V$10*$V$4+$U$10*$U$4+$T$10*$T$4+$S$10*$S$4+1*$R$4+$Q$10*$Q$4+$P$10*$P$4+1*$O$4+0*$N$4+$M$10*$M$4+$L$10*$L$4+$K$10*$K$4+$J$10*$J$4+$I$10*$I$4+$H$10*$H$4+$G$10*$G$4</f>
        <v>1694</v>
      </c>
      <c r="D14" s="146"/>
      <c r="E14" s="168" t="s">
        <v>61</v>
      </c>
      <c r="F14" s="169"/>
      <c r="G14" s="88">
        <v>100</v>
      </c>
      <c r="H14" s="89">
        <v>80</v>
      </c>
      <c r="I14" s="89">
        <v>10</v>
      </c>
      <c r="J14" s="94"/>
      <c r="K14" s="104"/>
      <c r="L14" s="105"/>
      <c r="M14" s="105"/>
      <c r="N14" s="106"/>
      <c r="O14" s="96">
        <v>8</v>
      </c>
      <c r="P14" s="89">
        <v>40</v>
      </c>
      <c r="Q14" s="89">
        <v>20</v>
      </c>
      <c r="R14" s="94"/>
      <c r="S14" s="104"/>
      <c r="T14" s="105">
        <v>4</v>
      </c>
      <c r="U14" s="105">
        <v>2</v>
      </c>
      <c r="V14" s="106">
        <v>1</v>
      </c>
      <c r="W14" s="141"/>
      <c r="AB14" s="51"/>
    </row>
    <row r="15" spans="2:28" ht="19.5" thickBot="1" x14ac:dyDescent="0.35">
      <c r="B15" s="152" t="str">
        <f t="shared" si="1"/>
        <v>70E</v>
      </c>
      <c r="C15" s="153">
        <f>$V$10*$V$4+$U$10*$U$4+$T$10*$T$4+$S$10*$S$4+0*$R$4+$Q$10*$Q$4+$P$10*$P$4+0*$O$4+1*$N$4+$M$10*$M$4+$L$10*$L$4+$K$10*$K$4+$J$10*$J$4+$I$10*$I$4+$H$10*$H$4+$G$10*$G$4</f>
        <v>1806</v>
      </c>
      <c r="D15" s="146"/>
      <c r="E15" s="157" t="s">
        <v>65</v>
      </c>
      <c r="F15" s="128">
        <v>131</v>
      </c>
      <c r="G15" s="90">
        <v>256</v>
      </c>
      <c r="H15" s="91">
        <v>128</v>
      </c>
      <c r="I15" s="91">
        <v>16</v>
      </c>
      <c r="J15" s="95"/>
      <c r="K15" s="107"/>
      <c r="L15" s="108"/>
      <c r="M15" s="108"/>
      <c r="N15" s="109"/>
      <c r="O15" s="97">
        <v>8</v>
      </c>
      <c r="P15" s="91">
        <v>64</v>
      </c>
      <c r="Q15" s="91">
        <v>32</v>
      </c>
      <c r="R15" s="95"/>
      <c r="S15" s="107"/>
      <c r="T15" s="108">
        <v>4</v>
      </c>
      <c r="U15" s="108">
        <v>2</v>
      </c>
      <c r="V15" s="109">
        <v>1</v>
      </c>
      <c r="W15" s="130"/>
      <c r="AB15" s="51"/>
    </row>
    <row r="16" spans="2:28" ht="19.5" thickBot="1" x14ac:dyDescent="0.3">
      <c r="B16" s="152" t="str">
        <f t="shared" si="1"/>
        <v>71E</v>
      </c>
      <c r="C16" s="153">
        <f>$V$10*$V$4+$U$10*$U$4+$T$10*$T$4+$S$10*$S$4+1*$R$4+$Q$10*$Q$4+$P$10*$P$4+0*$O$4+1*$N$4+$M$10*$M$4+$L$10*$L$4+$K$10*$K$4+$J$10*$J$4+$I$10*$I$4+$H$10*$H$4+$G$10*$G$4</f>
        <v>1822</v>
      </c>
      <c r="D16" s="146"/>
      <c r="E16" s="126">
        <f>HEX2DEC((E15))</f>
        <v>1133</v>
      </c>
      <c r="F16" s="126" t="str">
        <f>DEC2HEX(F15)</f>
        <v>83</v>
      </c>
      <c r="G16" s="144" t="s">
        <v>31</v>
      </c>
      <c r="H16" s="86" t="s">
        <v>30</v>
      </c>
      <c r="I16" s="92" t="s">
        <v>29</v>
      </c>
      <c r="J16" s="93" t="s">
        <v>28</v>
      </c>
      <c r="K16" s="101" t="s">
        <v>27</v>
      </c>
      <c r="L16" s="102" t="s">
        <v>26</v>
      </c>
      <c r="M16" s="102" t="s">
        <v>25</v>
      </c>
      <c r="N16" s="103" t="s">
        <v>24</v>
      </c>
      <c r="O16" s="85" t="s">
        <v>23</v>
      </c>
      <c r="P16" s="86" t="s">
        <v>22</v>
      </c>
      <c r="Q16" s="86" t="s">
        <v>21</v>
      </c>
      <c r="R16" s="87" t="s">
        <v>20</v>
      </c>
      <c r="S16" s="111" t="s">
        <v>19</v>
      </c>
      <c r="T16" s="112" t="s">
        <v>18</v>
      </c>
      <c r="U16" s="112" t="s">
        <v>17</v>
      </c>
      <c r="V16" s="113" t="s">
        <v>16</v>
      </c>
      <c r="W16" s="139"/>
      <c r="AB16" s="51"/>
    </row>
    <row r="17" spans="2:28" ht="30" customHeight="1" thickBot="1" x14ac:dyDescent="0.3">
      <c r="B17" s="152" t="str">
        <f t="shared" si="1"/>
        <v>78E</v>
      </c>
      <c r="C17" s="153">
        <f>$V$10*$V$4+$U$10*$U$4+$T$10*$T$4+$S$10*$S$4+0*$R$4+$Q$10*$Q$4+$P$10*$P$4+1*$O$4+1*$N$4+$M$10*$M$4+$L$10*$L$4+$K$10*$K$4+$J$10*$J$4+$I$10*$I$4+$H$10*$H$4+$G$10*$G$4</f>
        <v>1934</v>
      </c>
      <c r="D17" s="146"/>
      <c r="E17" s="71" t="str">
        <f>DEC2HEX((F17))</f>
        <v>E5</v>
      </c>
      <c r="F17" s="72">
        <f>V17*$V$4+U17*$U$4+T17*$T$4+S17*$S$4+R17*$R$4+Q17*$Q$4+P17*$P$4+O17*$O$4+N17*$N$4+M17*$M$4+L17*$L$4+K17*$K$4+J17*$J$4+I17*$I$4+H17*$H$4+G17*$G$4</f>
        <v>229</v>
      </c>
      <c r="G17" s="59">
        <f>_xlfn.BITAND($E$16,G15)/G15</f>
        <v>0</v>
      </c>
      <c r="H17" s="57">
        <f>_xlfn.BITAND($E$16,H15)/H15</f>
        <v>0</v>
      </c>
      <c r="I17" s="58">
        <f>_xlfn.BITAND($E$16,I15)/I15</f>
        <v>0</v>
      </c>
      <c r="J17" s="53">
        <v>0</v>
      </c>
      <c r="K17" s="60">
        <v>0</v>
      </c>
      <c r="L17" s="61">
        <v>0</v>
      </c>
      <c r="M17" s="62">
        <v>0</v>
      </c>
      <c r="N17" s="63">
        <v>0</v>
      </c>
      <c r="O17" s="59">
        <f>_xlfn.BITAND($E$16,O15)/O15</f>
        <v>1</v>
      </c>
      <c r="P17" s="56">
        <f>_xlfn.BITAND($E$16,P15)/P15</f>
        <v>1</v>
      </c>
      <c r="Q17" s="56">
        <f>_xlfn.BITAND($E$16,Q15)/Q15</f>
        <v>1</v>
      </c>
      <c r="R17" s="53">
        <v>0</v>
      </c>
      <c r="S17" s="54">
        <v>0</v>
      </c>
      <c r="T17" s="64">
        <f>_xlfn.BITAND($E$16,T15)/T15</f>
        <v>1</v>
      </c>
      <c r="U17" s="64">
        <f>_xlfn.BITAND($E$16,U15)/U15</f>
        <v>0</v>
      </c>
      <c r="V17" s="65">
        <f>_xlfn.BITAND($E$16,V15)/V15</f>
        <v>1</v>
      </c>
      <c r="W17" s="52"/>
      <c r="AB17" s="51"/>
    </row>
    <row r="18" spans="2:28" ht="19.5" thickBot="1" x14ac:dyDescent="0.3">
      <c r="B18" s="154" t="str">
        <f t="shared" si="1"/>
        <v>79E</v>
      </c>
      <c r="C18" s="155">
        <f>$V$10*$V$4+$U$10*$U$4+$T$10*$T$4+$S$10*$S$4+1*$R$4+$Q$10*$Q$4+$P$10*$P$4+1*$O$4+1*$N$4+$M$10*$M$4+$L$10*$L$4+$K$10*$K$4+$J$10*$J$4+$I$10*$I$4+$H$10*$H$4+$G$10*$G$4</f>
        <v>1950</v>
      </c>
      <c r="D18" s="146"/>
      <c r="E18" s="173" t="s">
        <v>59</v>
      </c>
      <c r="F18" s="174"/>
      <c r="G18" s="14" t="s">
        <v>7</v>
      </c>
      <c r="H18" s="56" t="s">
        <v>8</v>
      </c>
      <c r="I18" s="77" t="s">
        <v>11</v>
      </c>
      <c r="J18" s="145" t="s">
        <v>58</v>
      </c>
      <c r="K18" s="79" t="s">
        <v>58</v>
      </c>
      <c r="L18" s="3" t="s">
        <v>58</v>
      </c>
      <c r="M18" s="3" t="s">
        <v>58</v>
      </c>
      <c r="N18" s="4" t="s">
        <v>58</v>
      </c>
      <c r="O18" s="55" t="s">
        <v>12</v>
      </c>
      <c r="P18" s="12" t="s">
        <v>9</v>
      </c>
      <c r="Q18" s="78" t="s">
        <v>10</v>
      </c>
      <c r="R18" s="80" t="s">
        <v>58</v>
      </c>
      <c r="S18" s="81" t="s">
        <v>58</v>
      </c>
      <c r="T18" s="79" t="s">
        <v>13</v>
      </c>
      <c r="U18" s="3" t="s">
        <v>14</v>
      </c>
      <c r="V18" s="4" t="s">
        <v>15</v>
      </c>
      <c r="W18" s="130"/>
    </row>
    <row r="19" spans="2:28" ht="23.1" customHeight="1" thickBot="1" x14ac:dyDescent="0.3">
      <c r="J19" s="170" t="s">
        <v>60</v>
      </c>
      <c r="K19" s="171"/>
      <c r="L19" s="171"/>
      <c r="M19" s="171"/>
      <c r="N19" s="172"/>
      <c r="R19" s="170"/>
      <c r="S19" s="172"/>
    </row>
    <row r="20" spans="2:28" x14ac:dyDescent="0.25">
      <c r="G20" s="177" t="b">
        <v>1</v>
      </c>
      <c r="H20" s="178"/>
      <c r="I20" s="32" t="s">
        <v>50</v>
      </c>
      <c r="J20" s="34">
        <v>1</v>
      </c>
      <c r="K20" s="34"/>
      <c r="L20" s="35"/>
      <c r="AB20" s="51"/>
    </row>
    <row r="21" spans="2:28" x14ac:dyDescent="0.25">
      <c r="G21" s="160"/>
      <c r="H21" s="161"/>
      <c r="I21" s="33" t="s">
        <v>51</v>
      </c>
      <c r="J21" s="34"/>
      <c r="K21" s="34"/>
      <c r="L21" s="35"/>
      <c r="AB21" s="51"/>
    </row>
    <row r="22" spans="2:28" x14ac:dyDescent="0.25">
      <c r="G22" s="160" t="b">
        <v>1</v>
      </c>
      <c r="H22" s="161"/>
      <c r="I22" s="33" t="s">
        <v>52</v>
      </c>
      <c r="J22" s="34"/>
      <c r="K22" s="34"/>
      <c r="L22" s="35"/>
      <c r="AB22" s="51"/>
    </row>
    <row r="23" spans="2:28" x14ac:dyDescent="0.25">
      <c r="G23" s="160" t="b">
        <v>0</v>
      </c>
      <c r="H23" s="161"/>
      <c r="I23" s="33" t="s">
        <v>53</v>
      </c>
      <c r="J23" s="34"/>
      <c r="K23" s="34"/>
      <c r="L23" s="35"/>
      <c r="AB23" s="51"/>
    </row>
    <row r="24" spans="2:28" ht="16.5" thickBot="1" x14ac:dyDescent="0.3">
      <c r="G24" s="162"/>
      <c r="H24" s="163"/>
      <c r="I24" s="36"/>
      <c r="J24" s="37"/>
      <c r="K24" s="37"/>
      <c r="L24" s="38"/>
      <c r="AB24" s="51"/>
    </row>
    <row r="25" spans="2:28" x14ac:dyDescent="0.25">
      <c r="AB25" s="51"/>
    </row>
    <row r="26" spans="2:28" x14ac:dyDescent="0.25">
      <c r="G26" s="52"/>
      <c r="H26" s="52"/>
      <c r="AB26" s="51"/>
    </row>
    <row r="27" spans="2:28" x14ac:dyDescent="0.25">
      <c r="G27" s="51"/>
      <c r="AB27" s="51"/>
    </row>
    <row r="28" spans="2:28" x14ac:dyDescent="0.25">
      <c r="G28" s="51"/>
    </row>
    <row r="29" spans="2:28" x14ac:dyDescent="0.25">
      <c r="G29" s="51"/>
    </row>
    <row r="30" spans="2:28" x14ac:dyDescent="0.25">
      <c r="G30" s="51"/>
    </row>
    <row r="31" spans="2:28" x14ac:dyDescent="0.25">
      <c r="G31" s="51"/>
    </row>
    <row r="32" spans="2:28" x14ac:dyDescent="0.25">
      <c r="G32" s="51"/>
      <c r="H32" s="51"/>
      <c r="I32" s="51"/>
    </row>
    <row r="33" spans="7:9" x14ac:dyDescent="0.25">
      <c r="G33" s="51"/>
      <c r="H33" s="51"/>
      <c r="I33" s="51"/>
    </row>
    <row r="34" spans="7:9" x14ac:dyDescent="0.25">
      <c r="G34" s="51"/>
      <c r="H34" s="51"/>
      <c r="I34" s="51"/>
    </row>
  </sheetData>
  <mergeCells count="11">
    <mergeCell ref="J19:N19"/>
    <mergeCell ref="R19:S19"/>
    <mergeCell ref="E18:F18"/>
    <mergeCell ref="E2:F2"/>
    <mergeCell ref="G20:H21"/>
    <mergeCell ref="B9:C9"/>
    <mergeCell ref="G22:H22"/>
    <mergeCell ref="G23:H24"/>
    <mergeCell ref="E9:F9"/>
    <mergeCell ref="E11:F11"/>
    <mergeCell ref="E14:F14"/>
  </mergeCells>
  <pageMargins left="0.7" right="0.7" top="0.75" bottom="0.75" header="0.3" footer="0.3"/>
  <pageSetup paperSize="9" orientation="portrait" r:id="rId1"/>
  <ignoredErrors>
    <ignoredError sqref="E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 altText="PN5">
                <anchor>
                  <from>
                    <xdr:col>6</xdr:col>
                    <xdr:colOff>9525</xdr:colOff>
                    <xdr:row>19</xdr:row>
                    <xdr:rowOff>57150</xdr:rowOff>
                  </from>
                  <to>
                    <xdr:col>7</xdr:col>
                    <xdr:colOff>352425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 altText="Dos Off/On">
                <anchor>
                  <from>
                    <xdr:col>6</xdr:col>
                    <xdr:colOff>9525</xdr:colOff>
                    <xdr:row>20</xdr:row>
                    <xdr:rowOff>161925</xdr:rowOff>
                  </from>
                  <to>
                    <xdr:col>7</xdr:col>
                    <xdr:colOff>495300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 altText="PN5">
                <anchor moveWithCells="1">
                  <from>
                    <xdr:col>6</xdr:col>
                    <xdr:colOff>9525</xdr:colOff>
                    <xdr:row>22</xdr:row>
                    <xdr:rowOff>9525</xdr:rowOff>
                  </from>
                  <to>
                    <xdr:col>7</xdr:col>
                    <xdr:colOff>161925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8</xdr:col>
                    <xdr:colOff>47625</xdr:colOff>
                    <xdr:row>19</xdr:row>
                    <xdr:rowOff>66675</xdr:rowOff>
                  </from>
                  <to>
                    <xdr:col>11</xdr:col>
                    <xdr:colOff>314325</xdr:colOff>
                    <xdr:row>23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2D05-0227-D54A-A230-BF0249DFF091}">
  <dimension ref="A1:G19"/>
  <sheetViews>
    <sheetView workbookViewId="0">
      <selection activeCell="C4" sqref="C4"/>
    </sheetView>
  </sheetViews>
  <sheetFormatPr defaultColWidth="11" defaultRowHeight="15.75" x14ac:dyDescent="0.25"/>
  <cols>
    <col min="2" max="2" width="33" customWidth="1"/>
  </cols>
  <sheetData>
    <row r="1" spans="1:7" x14ac:dyDescent="0.25">
      <c r="A1" s="156"/>
      <c r="B1" s="156">
        <f>184862379+4</f>
        <v>184862383</v>
      </c>
      <c r="C1" s="156"/>
      <c r="D1" s="156"/>
      <c r="E1" s="156"/>
      <c r="F1" s="156"/>
      <c r="G1" s="156"/>
    </row>
    <row r="2" spans="1:7" x14ac:dyDescent="0.25">
      <c r="A2" s="156"/>
      <c r="B2" s="156">
        <v>-184190022</v>
      </c>
      <c r="C2" s="156"/>
      <c r="D2" s="156"/>
      <c r="E2" s="156"/>
      <c r="F2" s="156"/>
      <c r="G2" s="156"/>
    </row>
    <row r="3" spans="1:7" x14ac:dyDescent="0.25">
      <c r="A3" s="156"/>
      <c r="B3" s="156">
        <f>B1+B2</f>
        <v>672361</v>
      </c>
      <c r="C3" s="156">
        <f>B3/100*42</f>
        <v>282391.62</v>
      </c>
      <c r="D3" s="156"/>
      <c r="E3" s="156"/>
      <c r="F3" s="156"/>
      <c r="G3" s="156"/>
    </row>
    <row r="4" spans="1:7" x14ac:dyDescent="0.25">
      <c r="A4" s="156"/>
      <c r="B4" s="156">
        <f>15173747+4</f>
        <v>15173751</v>
      </c>
      <c r="C4" s="156"/>
      <c r="D4" s="156"/>
      <c r="E4" s="156"/>
      <c r="F4" s="156"/>
      <c r="G4" s="156"/>
    </row>
    <row r="5" spans="1:7" x14ac:dyDescent="0.25">
      <c r="A5" s="156"/>
      <c r="B5" s="156">
        <v>-14220929</v>
      </c>
      <c r="C5" s="156"/>
      <c r="D5" s="156"/>
      <c r="E5" s="156"/>
      <c r="F5" s="156"/>
      <c r="G5" s="156"/>
    </row>
    <row r="6" spans="1:7" x14ac:dyDescent="0.25">
      <c r="A6" s="156"/>
      <c r="B6" s="156">
        <f>B4+B5</f>
        <v>952822</v>
      </c>
      <c r="C6" s="156"/>
      <c r="D6" s="156"/>
      <c r="E6" s="156"/>
      <c r="F6" s="156"/>
      <c r="G6" s="156"/>
    </row>
    <row r="7" spans="1:7" x14ac:dyDescent="0.25">
      <c r="A7" s="156"/>
      <c r="B7" s="156">
        <f>B6-B3</f>
        <v>280461</v>
      </c>
      <c r="C7" s="156"/>
      <c r="D7" s="156"/>
      <c r="E7" s="156"/>
      <c r="F7" s="156"/>
      <c r="G7" s="156"/>
    </row>
    <row r="8" spans="1:7" x14ac:dyDescent="0.25">
      <c r="A8" s="156"/>
      <c r="B8" s="156"/>
      <c r="C8" s="156"/>
      <c r="D8" s="156"/>
      <c r="E8" s="156"/>
      <c r="F8" s="156"/>
      <c r="G8" s="156"/>
    </row>
    <row r="9" spans="1:7" x14ac:dyDescent="0.25">
      <c r="A9" s="156"/>
      <c r="B9" s="156">
        <f>B6/(B3/100)</f>
        <v>141.71285960964423</v>
      </c>
      <c r="C9" s="156"/>
      <c r="D9" s="156"/>
      <c r="E9" s="156"/>
      <c r="F9" s="156"/>
      <c r="G9" s="156"/>
    </row>
    <row r="10" spans="1:7" x14ac:dyDescent="0.25">
      <c r="A10" s="156"/>
      <c r="B10" s="156"/>
      <c r="C10" s="156"/>
      <c r="D10" s="156"/>
      <c r="E10" s="156"/>
      <c r="F10" s="156"/>
      <c r="G10" s="156"/>
    </row>
    <row r="11" spans="1:7" x14ac:dyDescent="0.25">
      <c r="A11" s="156"/>
      <c r="B11" s="156"/>
      <c r="C11" s="156"/>
      <c r="D11" s="156"/>
      <c r="E11" s="156"/>
      <c r="F11" s="156"/>
      <c r="G11" s="156"/>
    </row>
    <row r="12" spans="1:7" x14ac:dyDescent="0.25">
      <c r="A12" s="156"/>
      <c r="B12" s="156"/>
      <c r="C12" s="156"/>
      <c r="D12" s="156"/>
      <c r="E12" s="156"/>
      <c r="F12" s="156"/>
      <c r="G12" s="156"/>
    </row>
    <row r="13" spans="1:7" x14ac:dyDescent="0.25">
      <c r="A13" s="156"/>
      <c r="B13" s="156"/>
      <c r="C13" s="156"/>
      <c r="D13" s="156"/>
      <c r="E13" s="156"/>
      <c r="F13" s="156"/>
      <c r="G13" s="156"/>
    </row>
    <row r="14" spans="1:7" x14ac:dyDescent="0.25">
      <c r="A14" s="156"/>
      <c r="B14" s="156"/>
      <c r="C14" s="156"/>
      <c r="D14" s="156"/>
      <c r="E14" s="156"/>
      <c r="F14" s="156"/>
      <c r="G14" s="156"/>
    </row>
    <row r="15" spans="1:7" x14ac:dyDescent="0.25">
      <c r="A15" s="156"/>
      <c r="B15" s="156"/>
      <c r="C15" s="156"/>
      <c r="D15" s="156"/>
      <c r="E15" s="156"/>
      <c r="F15" s="156"/>
      <c r="G15" s="156"/>
    </row>
    <row r="16" spans="1:7" x14ac:dyDescent="0.25">
      <c r="A16" s="156"/>
      <c r="B16" s="156"/>
      <c r="C16" s="156"/>
      <c r="D16" s="156"/>
      <c r="E16" s="156"/>
      <c r="F16" s="156"/>
      <c r="G16" s="156"/>
    </row>
    <row r="17" spans="1:7" x14ac:dyDescent="0.25">
      <c r="A17" s="156"/>
      <c r="B17" s="156"/>
      <c r="C17" s="156"/>
      <c r="D17" s="156"/>
      <c r="E17" s="156"/>
      <c r="F17" s="156"/>
      <c r="G17" s="156"/>
    </row>
    <row r="18" spans="1:7" x14ac:dyDescent="0.25">
      <c r="A18" s="156"/>
      <c r="B18" s="156"/>
      <c r="C18" s="156"/>
      <c r="D18" s="156"/>
      <c r="E18" s="156"/>
      <c r="F18" s="156"/>
      <c r="G18" s="156"/>
    </row>
    <row r="19" spans="1:7" x14ac:dyDescent="0.25">
      <c r="A19" s="156"/>
      <c r="B19" s="156"/>
      <c r="C19" s="156"/>
      <c r="D19" s="156"/>
      <c r="E19" s="156"/>
      <c r="F19" s="156"/>
      <c r="G19" s="1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Белянский</dc:creator>
  <cp:lastModifiedBy>Анатолий Белянский</cp:lastModifiedBy>
  <dcterms:created xsi:type="dcterms:W3CDTF">2022-01-27T12:50:16Z</dcterms:created>
  <dcterms:modified xsi:type="dcterms:W3CDTF">2026-09-05T10:08:32Z</dcterms:modified>
</cp:coreProperties>
</file>